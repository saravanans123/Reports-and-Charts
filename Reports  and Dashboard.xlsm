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90" windowWidth="20730" windowHeight="11760"/>
  </bookViews>
  <sheets>
    <sheet name="Interactive Dashboard" sheetId="1" r:id="rId1"/>
    <sheet name="Combo Chart Data" sheetId="5" r:id="rId2"/>
    <sheet name="Line charts data" sheetId="3" r:id="rId3"/>
    <sheet name="Pie Charts data" sheetId="4" r:id="rId4"/>
    <sheet name="Chart List" sheetId="6" r:id="rId5"/>
    <sheet name="Combo Chart Sheet" sheetId="7" r:id="rId6"/>
  </sheets>
  <functionGroups builtInGroupCount="17"/>
  <externalReferences>
    <externalReference r:id="rId7"/>
  </externalReferences>
  <definedNames>
    <definedName name="valSelOption">'Interactive Dashboard'!$AC$18</definedName>
  </definedNames>
  <calcPr calcId="144525"/>
</workbook>
</file>

<file path=xl/calcChain.xml><?xml version="1.0" encoding="utf-8"?>
<calcChain xmlns="http://schemas.openxmlformats.org/spreadsheetml/2006/main">
  <c r="AC15" i="1" l="1"/>
  <c r="AC17" i="1"/>
  <c r="AC19" i="1" s="1" a="1"/>
  <c r="C3" i="1"/>
  <c r="D3" i="1"/>
  <c r="E3" i="1"/>
  <c r="B3" i="1"/>
  <c r="B6" i="1"/>
  <c r="E6" i="1"/>
  <c r="D6" i="1"/>
  <c r="C6" i="1"/>
  <c r="AC21" i="1" l="1"/>
  <c r="AC22" i="1"/>
  <c r="AC27" i="1"/>
  <c r="AC19" i="1"/>
  <c r="AC24" i="1"/>
  <c r="AC30" i="1"/>
  <c r="AC23" i="1"/>
  <c r="AC28" i="1"/>
  <c r="AC20" i="1"/>
  <c r="AC26" i="1"/>
  <c r="AC29" i="1"/>
  <c r="AC25" i="1"/>
  <c r="AB32" i="1"/>
  <c r="E4" i="1" s="1"/>
  <c r="Z32" i="1"/>
  <c r="C4" i="1" s="1"/>
  <c r="Y32" i="1"/>
  <c r="B4" i="1" s="1"/>
  <c r="AA32" i="1" l="1"/>
  <c r="D4" i="1" s="1"/>
</calcChain>
</file>

<file path=xl/sharedStrings.xml><?xml version="1.0" encoding="utf-8"?>
<sst xmlns="http://schemas.openxmlformats.org/spreadsheetml/2006/main" count="34" uniqueCount="26">
  <si>
    <t>Sales</t>
  </si>
  <si>
    <t>Expenses</t>
  </si>
  <si>
    <t>Profits</t>
  </si>
  <si>
    <t>No. of Customers</t>
  </si>
  <si>
    <t>Month</t>
  </si>
  <si>
    <t>Total</t>
  </si>
  <si>
    <t>YTD total</t>
  </si>
  <si>
    <t>Date</t>
  </si>
  <si>
    <t>Revenue</t>
  </si>
  <si>
    <t>Revenue 2</t>
  </si>
  <si>
    <t>Data Labels</t>
  </si>
  <si>
    <t>Items</t>
  </si>
  <si>
    <t>QTY</t>
  </si>
  <si>
    <t>Price</t>
  </si>
  <si>
    <t xml:space="preserve">Revenue </t>
  </si>
  <si>
    <t>Television</t>
  </si>
  <si>
    <t>Laptop</t>
  </si>
  <si>
    <t>Mobile Phone</t>
  </si>
  <si>
    <t>Pen</t>
  </si>
  <si>
    <t>Speakers</t>
  </si>
  <si>
    <t>Bulb</t>
  </si>
  <si>
    <t>Revenue 4</t>
  </si>
  <si>
    <t>Qty</t>
  </si>
  <si>
    <t>Line charts</t>
  </si>
  <si>
    <t>Pie Charts</t>
  </si>
  <si>
    <t>Interactive Dashboard in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</si>
</sst>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_);\(&quot;$&quot;#,##0\)"/>
    <numFmt numFmtId="165" formatCode="_(&quot;$&quot;* #,##0.00_);_(&quot;$&quot;* \(#,##0.00\);_(&quot;$&quot;* &quot;-&quot;??_);_(@_)"/>
    <numFmt numFmtId="166" formatCode="&quot;₹&quot;\ #,##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6"/>
      <color theme="1"/>
      <name val="Segoe UI Light"/>
      <family val="2"/>
    </font>
    <font>
      <sz val="24"/>
      <color theme="1"/>
      <name val="Segoe UI Semibold"/>
      <family val="2"/>
    </font>
    <font>
      <sz val="9"/>
      <color theme="1" tint="0.499984740745262"/>
      <name val="Calibri"/>
      <family val="2"/>
      <scheme val="minor"/>
    </font>
    <font>
      <sz val="11"/>
      <color theme="1" tint="0.249977111117893"/>
      <name val="Webdings"/>
      <family val="1"/>
      <charset val="2"/>
    </font>
    <font>
      <b/>
      <sz val="14"/>
      <color rgb="FF002060"/>
      <name val="Segoe UI Light"/>
      <family val="2"/>
    </font>
    <font>
      <u/>
      <sz val="11"/>
      <color rgb="FF0070C0"/>
      <name val="Calibri"/>
      <family val="2"/>
    </font>
    <font>
      <b/>
      <u/>
      <sz val="11"/>
      <color rgb="FF0070C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64" fontId="4" fillId="0" borderId="0" xfId="1" applyNumberFormat="1" applyFont="1" applyAlignment="1">
      <alignment horizontal="center" vertical="center"/>
    </xf>
    <xf numFmtId="1" fontId="4" fillId="0" borderId="0" xfId="1" applyNumberFormat="1" applyFont="1" applyAlignment="1">
      <alignment horizontal="center" vertical="center"/>
    </xf>
    <xf numFmtId="0" fontId="0" fillId="2" borderId="0" xfId="0" applyFill="1"/>
    <xf numFmtId="0" fontId="0" fillId="0" borderId="1" xfId="0" applyBorder="1" applyAlignment="1">
      <alignment horizontal="center"/>
    </xf>
    <xf numFmtId="17" fontId="0" fillId="0" borderId="1" xfId="0" applyNumberFormat="1" applyBorder="1" applyAlignment="1">
      <alignment horizontal="center"/>
    </xf>
    <xf numFmtId="0" fontId="0" fillId="0" borderId="1" xfId="0" applyBorder="1"/>
    <xf numFmtId="0" fontId="10" fillId="4" borderId="1" xfId="0" applyFont="1" applyFill="1" applyBorder="1"/>
    <xf numFmtId="0" fontId="10" fillId="5" borderId="1" xfId="0" applyFont="1" applyFill="1" applyBorder="1" applyAlignment="1">
      <alignment horizontal="center"/>
    </xf>
    <xf numFmtId="0" fontId="6" fillId="0" borderId="0" xfId="2" applyFont="1" applyAlignment="1" applyProtection="1">
      <alignment horizontal="center" vertical="center" wrapText="1"/>
    </xf>
    <xf numFmtId="14" fontId="0" fillId="0" borderId="0" xfId="0" applyNumberFormat="1"/>
    <xf numFmtId="166" fontId="0" fillId="0" borderId="0" xfId="0" applyNumberFormat="1"/>
    <xf numFmtId="0" fontId="11" fillId="0" borderId="0" xfId="0" applyFont="1"/>
    <xf numFmtId="0" fontId="7" fillId="3" borderId="2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7" fillId="3" borderId="4" xfId="0" applyFont="1" applyFill="1" applyBorder="1" applyAlignment="1">
      <alignment horizontal="left" vertical="center"/>
    </xf>
    <xf numFmtId="0" fontId="9" fillId="0" borderId="0" xfId="2" applyFont="1" applyAlignment="1" applyProtection="1">
      <alignment horizontal="right"/>
    </xf>
    <xf numFmtId="0" fontId="8" fillId="0" borderId="0" xfId="2" applyFont="1" applyAlignment="1" applyProtection="1">
      <alignment horizontal="left"/>
    </xf>
    <xf numFmtId="0" fontId="11" fillId="0" borderId="0" xfId="0" applyFont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2">
    <dxf>
      <font>
        <color rgb="FF0070C0"/>
      </font>
    </dxf>
    <dxf>
      <fill>
        <patternFill>
          <bgColor theme="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7160075329566874"/>
          <c:y val="7.0833333333333373E-2"/>
        </c:manualLayout>
      </c:layout>
      <c:overlay val="0"/>
      <c:txPr>
        <a:bodyPr/>
        <a:lstStyle/>
        <a:p>
          <a:pPr algn="ctr">
            <a:defRPr sz="1200" b="0">
              <a:solidFill>
                <a:schemeClr val="tx1">
                  <a:lumMod val="50000"/>
                  <a:lumOff val="50000"/>
                </a:schemeClr>
              </a:solidFill>
              <a:latin typeface="Segoe UI Light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376321603867314E-2"/>
          <c:y val="0.20042716535433078"/>
          <c:w val="0.9029080475110105"/>
          <c:h val="0.664235892388452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'Interactive Dashboard'!$AC$15</c:f>
              <c:strCache>
                <c:ptCount val="1"/>
                <c:pt idx="0">
                  <c:v>Monthly breakup of Expenses [Jan - Dec, 2010]</c:v>
                </c:pt>
              </c:strCache>
            </c:strRef>
          </c:tx>
          <c:invertIfNegative val="0"/>
          <c:cat>
            <c:numRef>
              <c:f>'Interactive Dashboard'!$X$19:$X$30</c:f>
              <c:numCache>
                <c:formatCode>mmm\-yy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</c:numCache>
            </c:numRef>
          </c:cat>
          <c:val>
            <c:numRef>
              <c:f>'Interactive Dashboard'!$AC$19:$AC$30</c:f>
              <c:numCache>
                <c:formatCode>General</c:formatCode>
                <c:ptCount val="12"/>
                <c:pt idx="0">
                  <c:v>790</c:v>
                </c:pt>
                <c:pt idx="1">
                  <c:v>1475</c:v>
                </c:pt>
                <c:pt idx="2">
                  <c:v>583</c:v>
                </c:pt>
                <c:pt idx="3">
                  <c:v>701</c:v>
                </c:pt>
                <c:pt idx="4">
                  <c:v>1160</c:v>
                </c:pt>
                <c:pt idx="5">
                  <c:v>656</c:v>
                </c:pt>
                <c:pt idx="6">
                  <c:v>643</c:v>
                </c:pt>
                <c:pt idx="7">
                  <c:v>1325</c:v>
                </c:pt>
                <c:pt idx="8">
                  <c:v>1293</c:v>
                </c:pt>
                <c:pt idx="9">
                  <c:v>821</c:v>
                </c:pt>
                <c:pt idx="10">
                  <c:v>557</c:v>
                </c:pt>
                <c:pt idx="11">
                  <c:v>1349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670784"/>
        <c:axId val="147462336"/>
      </c:barChart>
      <c:dateAx>
        <c:axId val="2156707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147462336"/>
        <c:crosses val="autoZero"/>
        <c:auto val="1"/>
        <c:lblOffset val="100"/>
        <c:baseTimeUnit val="months"/>
        <c:majorUnit val="1"/>
        <c:majorTimeUnit val="months"/>
      </c:dateAx>
      <c:valAx>
        <c:axId val="1474623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21567078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Revenue</a:t>
            </a:r>
            <a:r>
              <a:rPr lang="en-IN" baseline="0"/>
              <a:t> and QTY</a:t>
            </a:r>
            <a:endParaRPr lang="en-I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'[1]Combo Chart Data'!$C$2</c:f>
              <c:strCache>
                <c:ptCount val="1"/>
                <c:pt idx="0">
                  <c:v>Revenue 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'[1]Combo Chart Data'!$B$3:$B$31</c:f>
              <c:numCache>
                <c:formatCode>General</c:formatCode>
                <c:ptCount val="29"/>
                <c:pt idx="0">
                  <c:v>38514</c:v>
                </c:pt>
                <c:pt idx="1">
                  <c:v>38515</c:v>
                </c:pt>
                <c:pt idx="2">
                  <c:v>38516</c:v>
                </c:pt>
                <c:pt idx="3">
                  <c:v>38517</c:v>
                </c:pt>
                <c:pt idx="4">
                  <c:v>38518</c:v>
                </c:pt>
                <c:pt idx="5">
                  <c:v>38519</c:v>
                </c:pt>
                <c:pt idx="6">
                  <c:v>38520</c:v>
                </c:pt>
                <c:pt idx="7">
                  <c:v>38521</c:v>
                </c:pt>
                <c:pt idx="8">
                  <c:v>38522</c:v>
                </c:pt>
                <c:pt idx="9">
                  <c:v>38523</c:v>
                </c:pt>
                <c:pt idx="10">
                  <c:v>38524</c:v>
                </c:pt>
                <c:pt idx="11">
                  <c:v>38525</c:v>
                </c:pt>
                <c:pt idx="12">
                  <c:v>38526</c:v>
                </c:pt>
                <c:pt idx="13">
                  <c:v>38527</c:v>
                </c:pt>
                <c:pt idx="14">
                  <c:v>38528</c:v>
                </c:pt>
                <c:pt idx="15">
                  <c:v>38529</c:v>
                </c:pt>
                <c:pt idx="16">
                  <c:v>38530</c:v>
                </c:pt>
                <c:pt idx="17">
                  <c:v>38531</c:v>
                </c:pt>
                <c:pt idx="18">
                  <c:v>38532</c:v>
                </c:pt>
                <c:pt idx="19">
                  <c:v>38533</c:v>
                </c:pt>
                <c:pt idx="20">
                  <c:v>38534</c:v>
                </c:pt>
                <c:pt idx="21">
                  <c:v>38535</c:v>
                </c:pt>
                <c:pt idx="22">
                  <c:v>38536</c:v>
                </c:pt>
                <c:pt idx="23">
                  <c:v>38537</c:v>
                </c:pt>
                <c:pt idx="24">
                  <c:v>38538</c:v>
                </c:pt>
                <c:pt idx="25">
                  <c:v>38539</c:v>
                </c:pt>
                <c:pt idx="26">
                  <c:v>38540</c:v>
                </c:pt>
                <c:pt idx="27">
                  <c:v>38541</c:v>
                </c:pt>
                <c:pt idx="28">
                  <c:v>38542</c:v>
                </c:pt>
              </c:numCache>
            </c:numRef>
          </c:cat>
          <c:val>
            <c:numRef>
              <c:f>'[1]Combo Chart Data'!$C$3:$C$31</c:f>
              <c:numCache>
                <c:formatCode>General</c:formatCode>
                <c:ptCount val="29"/>
                <c:pt idx="0">
                  <c:v>1303419</c:v>
                </c:pt>
                <c:pt idx="1">
                  <c:v>1368177</c:v>
                </c:pt>
                <c:pt idx="2">
                  <c:v>1123413</c:v>
                </c:pt>
                <c:pt idx="3">
                  <c:v>1291591</c:v>
                </c:pt>
                <c:pt idx="4">
                  <c:v>1083560</c:v>
                </c:pt>
                <c:pt idx="5">
                  <c:v>1121314</c:v>
                </c:pt>
                <c:pt idx="6">
                  <c:v>1186701</c:v>
                </c:pt>
                <c:pt idx="7">
                  <c:v>1098871</c:v>
                </c:pt>
                <c:pt idx="8">
                  <c:v>1092795</c:v>
                </c:pt>
                <c:pt idx="9">
                  <c:v>1216522</c:v>
                </c:pt>
                <c:pt idx="10">
                  <c:v>1027508</c:v>
                </c:pt>
                <c:pt idx="11">
                  <c:v>1263669</c:v>
                </c:pt>
                <c:pt idx="12">
                  <c:v>1278680</c:v>
                </c:pt>
                <c:pt idx="13">
                  <c:v>1352527</c:v>
                </c:pt>
                <c:pt idx="14">
                  <c:v>1162771</c:v>
                </c:pt>
                <c:pt idx="15">
                  <c:v>1173180</c:v>
                </c:pt>
                <c:pt idx="16">
                  <c:v>1163031</c:v>
                </c:pt>
                <c:pt idx="17">
                  <c:v>1222184</c:v>
                </c:pt>
                <c:pt idx="18">
                  <c:v>1379700</c:v>
                </c:pt>
                <c:pt idx="19">
                  <c:v>1260224</c:v>
                </c:pt>
                <c:pt idx="20">
                  <c:v>1220900</c:v>
                </c:pt>
                <c:pt idx="21">
                  <c:v>1027203</c:v>
                </c:pt>
                <c:pt idx="22">
                  <c:v>1311714</c:v>
                </c:pt>
                <c:pt idx="23">
                  <c:v>1076684</c:v>
                </c:pt>
                <c:pt idx="24">
                  <c:v>1035058</c:v>
                </c:pt>
                <c:pt idx="25">
                  <c:v>1147605</c:v>
                </c:pt>
                <c:pt idx="26">
                  <c:v>1091289</c:v>
                </c:pt>
                <c:pt idx="27">
                  <c:v>1104225</c:v>
                </c:pt>
                <c:pt idx="28">
                  <c:v>1013751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0F4-4D8D-AE3E-ADC19233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813504"/>
        <c:axId val="233369536"/>
      </c:barChart>
      <c:lineChart>
        <c:grouping val="standard"/>
        <c:varyColors val="0"/>
        <c:ser>
          <c:idx val="1"/>
          <c:order val="1"/>
          <c:tx>
            <c:strRef>
              <c:f>'[1]Combo Chart Data'!$D$2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'[1]Combo Chart Data'!$B$3:$B$31</c:f>
              <c:numCache>
                <c:formatCode>General</c:formatCode>
                <c:ptCount val="29"/>
                <c:pt idx="0">
                  <c:v>38514</c:v>
                </c:pt>
                <c:pt idx="1">
                  <c:v>38515</c:v>
                </c:pt>
                <c:pt idx="2">
                  <c:v>38516</c:v>
                </c:pt>
                <c:pt idx="3">
                  <c:v>38517</c:v>
                </c:pt>
                <c:pt idx="4">
                  <c:v>38518</c:v>
                </c:pt>
                <c:pt idx="5">
                  <c:v>38519</c:v>
                </c:pt>
                <c:pt idx="6">
                  <c:v>38520</c:v>
                </c:pt>
                <c:pt idx="7">
                  <c:v>38521</c:v>
                </c:pt>
                <c:pt idx="8">
                  <c:v>38522</c:v>
                </c:pt>
                <c:pt idx="9">
                  <c:v>38523</c:v>
                </c:pt>
                <c:pt idx="10">
                  <c:v>38524</c:v>
                </c:pt>
                <c:pt idx="11">
                  <c:v>38525</c:v>
                </c:pt>
                <c:pt idx="12">
                  <c:v>38526</c:v>
                </c:pt>
                <c:pt idx="13">
                  <c:v>38527</c:v>
                </c:pt>
                <c:pt idx="14">
                  <c:v>38528</c:v>
                </c:pt>
                <c:pt idx="15">
                  <c:v>38529</c:v>
                </c:pt>
                <c:pt idx="16">
                  <c:v>38530</c:v>
                </c:pt>
                <c:pt idx="17">
                  <c:v>38531</c:v>
                </c:pt>
                <c:pt idx="18">
                  <c:v>38532</c:v>
                </c:pt>
                <c:pt idx="19">
                  <c:v>38533</c:v>
                </c:pt>
                <c:pt idx="20">
                  <c:v>38534</c:v>
                </c:pt>
                <c:pt idx="21">
                  <c:v>38535</c:v>
                </c:pt>
                <c:pt idx="22">
                  <c:v>38536</c:v>
                </c:pt>
                <c:pt idx="23">
                  <c:v>38537</c:v>
                </c:pt>
                <c:pt idx="24">
                  <c:v>38538</c:v>
                </c:pt>
                <c:pt idx="25">
                  <c:v>38539</c:v>
                </c:pt>
                <c:pt idx="26">
                  <c:v>38540</c:v>
                </c:pt>
                <c:pt idx="27">
                  <c:v>38541</c:v>
                </c:pt>
                <c:pt idx="28">
                  <c:v>38542</c:v>
                </c:pt>
              </c:numCache>
            </c:numRef>
          </c:cat>
          <c:val>
            <c:numRef>
              <c:f>'[1]Combo Chart Data'!$D$3:$D$31</c:f>
              <c:numCache>
                <c:formatCode>General</c:formatCode>
                <c:ptCount val="29"/>
                <c:pt idx="0">
                  <c:v>123</c:v>
                </c:pt>
                <c:pt idx="1">
                  <c:v>284</c:v>
                </c:pt>
                <c:pt idx="2">
                  <c:v>172</c:v>
                </c:pt>
                <c:pt idx="3">
                  <c:v>145</c:v>
                </c:pt>
                <c:pt idx="4">
                  <c:v>138</c:v>
                </c:pt>
                <c:pt idx="5">
                  <c:v>234</c:v>
                </c:pt>
                <c:pt idx="6">
                  <c:v>287</c:v>
                </c:pt>
                <c:pt idx="7">
                  <c:v>210</c:v>
                </c:pt>
                <c:pt idx="8">
                  <c:v>154</c:v>
                </c:pt>
                <c:pt idx="9">
                  <c:v>101</c:v>
                </c:pt>
                <c:pt idx="10">
                  <c:v>105</c:v>
                </c:pt>
                <c:pt idx="11">
                  <c:v>290</c:v>
                </c:pt>
                <c:pt idx="12">
                  <c:v>213</c:v>
                </c:pt>
                <c:pt idx="13">
                  <c:v>143</c:v>
                </c:pt>
                <c:pt idx="14">
                  <c:v>257</c:v>
                </c:pt>
                <c:pt idx="15">
                  <c:v>192</c:v>
                </c:pt>
                <c:pt idx="16">
                  <c:v>196</c:v>
                </c:pt>
                <c:pt idx="17">
                  <c:v>199</c:v>
                </c:pt>
                <c:pt idx="18">
                  <c:v>219</c:v>
                </c:pt>
                <c:pt idx="19">
                  <c:v>276</c:v>
                </c:pt>
                <c:pt idx="20">
                  <c:v>159</c:v>
                </c:pt>
                <c:pt idx="21">
                  <c:v>203</c:v>
                </c:pt>
                <c:pt idx="22">
                  <c:v>138</c:v>
                </c:pt>
                <c:pt idx="23">
                  <c:v>206</c:v>
                </c:pt>
                <c:pt idx="24">
                  <c:v>124</c:v>
                </c:pt>
                <c:pt idx="25">
                  <c:v>217</c:v>
                </c:pt>
                <c:pt idx="26">
                  <c:v>167</c:v>
                </c:pt>
                <c:pt idx="27">
                  <c:v>299</c:v>
                </c:pt>
                <c:pt idx="28">
                  <c:v>254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F4-4D8D-AE3E-ADC19233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814528"/>
        <c:axId val="233370112"/>
      </c:lineChart>
      <c:catAx>
        <c:axId val="23381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9536"/>
        <c:crosses val="autoZero"/>
        <c:auto val="1"/>
        <c:lblAlgn val="ctr"/>
        <c:lblOffset val="100"/>
        <c:noMultiLvlLbl val="0"/>
      </c:catAx>
      <c:valAx>
        <c:axId val="23336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Revenue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13504"/>
        <c:crosses val="autoZero"/>
        <c:crossBetween val="between"/>
      </c:valAx>
      <c:valAx>
        <c:axId val="233370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14528"/>
        <c:crosses val="max"/>
        <c:crossBetween val="between"/>
      </c:valAx>
      <c:catAx>
        <c:axId val="233814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3370112"/>
        <c:crosses val="autoZero"/>
        <c:auto val="1"/>
        <c:lblAlgn val="ctr"/>
        <c:lblOffset val="100"/>
        <c:tickLblSkip val="1"/>
        <c:tickMarkSkip val="1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theme="9" tint="0.39997558519241921"/>
  </sheetPr>
  <sheetViews>
    <sheetView zoomScale="53" workbookViewId="0"/>
  </sheetViews>
  <sheetProtection algorithmName="SHA-512" hashValue="d8nY4oH0ieVUknDLVSCh0DlI/T0JATqLjdKxZ/eWYRubMme341b8GMjfPUq9H3SGpZYdFYb/JUrEK+Dycx5o4w==" saltValue="zhC5c0YvHvWdKZCnBgoxVQ==" spinCount="100000" content="1" objects="1"/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5</xdr:col>
      <xdr:colOff>0</xdr:colOff>
      <xdr:row>22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1266824</xdr:colOff>
      <xdr:row>3</xdr:row>
      <xdr:rowOff>504825</xdr:rowOff>
    </xdr:from>
    <xdr:to>
      <xdr:col>6</xdr:col>
      <xdr:colOff>104774</xdr:colOff>
      <xdr:row>6</xdr:row>
      <xdr:rowOff>114299</xdr:rowOff>
    </xdr:to>
    <xdr:sp macro="" textlink="">
      <xdr:nvSpPr>
        <xdr:cNvPr id="8" name="Rectangular Callout 7"/>
        <xdr:cNvSpPr/>
      </xdr:nvSpPr>
      <xdr:spPr>
        <a:xfrm>
          <a:off x="6734174" y="1409700"/>
          <a:ext cx="1133475" cy="561974"/>
        </a:xfrm>
        <a:prstGeom prst="wedgeRectCallout">
          <a:avLst>
            <a:gd name="adj1" fmla="val -58648"/>
            <a:gd name="adj2" fmla="val 1693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Place your mouse on the arrows to highlight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352425</xdr:colOff>
      <xdr:row>1</xdr:row>
      <xdr:rowOff>19050</xdr:rowOff>
    </xdr:from>
    <xdr:to>
      <xdr:col>13</xdr:col>
      <xdr:colOff>17145</xdr:colOff>
      <xdr:row>16</xdr:row>
      <xdr:rowOff>25384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BD18ADBC-9449-4424-B350-F8D79B793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43300" y="209550"/>
          <a:ext cx="4541520" cy="28638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601980</xdr:colOff>
      <xdr:row>2</xdr:row>
      <xdr:rowOff>175260</xdr:rowOff>
    </xdr:from>
    <xdr:to>
      <xdr:col>19</xdr:col>
      <xdr:colOff>297576</xdr:colOff>
      <xdr:row>17</xdr:row>
      <xdr:rowOff>175498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FD8869C6-E2E2-48FD-BF74-7CCDB7A1A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07580" y="765810"/>
          <a:ext cx="4572396" cy="28577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24765</xdr:rowOff>
    </xdr:from>
    <xdr:to>
      <xdr:col>10</xdr:col>
      <xdr:colOff>512637</xdr:colOff>
      <xdr:row>33</xdr:row>
      <xdr:rowOff>37196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59FD450F-3BB2-43AB-9F1C-1EAA0C04B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63315"/>
          <a:ext cx="6608637" cy="286993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167640</xdr:rowOff>
    </xdr:from>
    <xdr:to>
      <xdr:col>10</xdr:col>
      <xdr:colOff>524830</xdr:colOff>
      <xdr:row>17</xdr:row>
      <xdr:rowOff>167878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F42EC363-5015-4B85-8EEB-F323F368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58190"/>
          <a:ext cx="6620830" cy="2857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368" cy="605646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ignment%20char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e charts data"/>
      <sheetName val="charts"/>
      <sheetName val="Pie Charts data"/>
      <sheetName val="Combo Chart Data"/>
      <sheetName val="Chart List"/>
      <sheetName val="Combo Chart Sheet"/>
    </sheetNames>
    <sheetDataSet>
      <sheetData sheetId="0"/>
      <sheetData sheetId="1"/>
      <sheetData sheetId="2"/>
      <sheetData sheetId="3">
        <row r="2">
          <cell r="C2" t="str">
            <v>Revenue 4</v>
          </cell>
          <cell r="D2" t="str">
            <v>Qty</v>
          </cell>
        </row>
        <row r="3">
          <cell r="B3">
            <v>38514</v>
          </cell>
          <cell r="C3">
            <v>1303419</v>
          </cell>
          <cell r="D3">
            <v>123</v>
          </cell>
        </row>
        <row r="4">
          <cell r="B4">
            <v>38515</v>
          </cell>
          <cell r="C4">
            <v>1368177</v>
          </cell>
          <cell r="D4">
            <v>284</v>
          </cell>
        </row>
        <row r="5">
          <cell r="B5">
            <v>38516</v>
          </cell>
          <cell r="C5">
            <v>1123413</v>
          </cell>
          <cell r="D5">
            <v>172</v>
          </cell>
        </row>
        <row r="6">
          <cell r="B6">
            <v>38517</v>
          </cell>
          <cell r="C6">
            <v>1291591</v>
          </cell>
          <cell r="D6">
            <v>145</v>
          </cell>
        </row>
        <row r="7">
          <cell r="B7">
            <v>38518</v>
          </cell>
          <cell r="C7">
            <v>1083560</v>
          </cell>
          <cell r="D7">
            <v>138</v>
          </cell>
        </row>
        <row r="8">
          <cell r="B8">
            <v>38519</v>
          </cell>
          <cell r="C8">
            <v>1121314</v>
          </cell>
          <cell r="D8">
            <v>234</v>
          </cell>
        </row>
        <row r="9">
          <cell r="B9">
            <v>38520</v>
          </cell>
          <cell r="C9">
            <v>1186701</v>
          </cell>
          <cell r="D9">
            <v>287</v>
          </cell>
        </row>
        <row r="10">
          <cell r="B10">
            <v>38521</v>
          </cell>
          <cell r="C10">
            <v>1098871</v>
          </cell>
          <cell r="D10">
            <v>210</v>
          </cell>
        </row>
        <row r="11">
          <cell r="B11">
            <v>38522</v>
          </cell>
          <cell r="C11">
            <v>1092795</v>
          </cell>
          <cell r="D11">
            <v>154</v>
          </cell>
        </row>
        <row r="12">
          <cell r="B12">
            <v>38523</v>
          </cell>
          <cell r="C12">
            <v>1216522</v>
          </cell>
          <cell r="D12">
            <v>101</v>
          </cell>
        </row>
        <row r="13">
          <cell r="B13">
            <v>38524</v>
          </cell>
          <cell r="C13">
            <v>1027508</v>
          </cell>
          <cell r="D13">
            <v>105</v>
          </cell>
        </row>
        <row r="14">
          <cell r="B14">
            <v>38525</v>
          </cell>
          <cell r="C14">
            <v>1263669</v>
          </cell>
          <cell r="D14">
            <v>290</v>
          </cell>
        </row>
        <row r="15">
          <cell r="B15">
            <v>38526</v>
          </cell>
          <cell r="C15">
            <v>1278680</v>
          </cell>
          <cell r="D15">
            <v>213</v>
          </cell>
        </row>
        <row r="16">
          <cell r="B16">
            <v>38527</v>
          </cell>
          <cell r="C16">
            <v>1352527</v>
          </cell>
          <cell r="D16">
            <v>143</v>
          </cell>
        </row>
        <row r="17">
          <cell r="B17">
            <v>38528</v>
          </cell>
          <cell r="C17">
            <v>1162771</v>
          </cell>
          <cell r="D17">
            <v>257</v>
          </cell>
        </row>
        <row r="18">
          <cell r="B18">
            <v>38529</v>
          </cell>
          <cell r="C18">
            <v>1173180</v>
          </cell>
          <cell r="D18">
            <v>192</v>
          </cell>
        </row>
        <row r="19">
          <cell r="B19">
            <v>38530</v>
          </cell>
          <cell r="C19">
            <v>1163031</v>
          </cell>
          <cell r="D19">
            <v>196</v>
          </cell>
        </row>
        <row r="20">
          <cell r="B20">
            <v>38531</v>
          </cell>
          <cell r="C20">
            <v>1222184</v>
          </cell>
          <cell r="D20">
            <v>199</v>
          </cell>
        </row>
        <row r="21">
          <cell r="B21">
            <v>38532</v>
          </cell>
          <cell r="C21">
            <v>1379700</v>
          </cell>
          <cell r="D21">
            <v>219</v>
          </cell>
        </row>
        <row r="22">
          <cell r="B22">
            <v>38533</v>
          </cell>
          <cell r="C22">
            <v>1260224</v>
          </cell>
          <cell r="D22">
            <v>276</v>
          </cell>
        </row>
        <row r="23">
          <cell r="B23">
            <v>38534</v>
          </cell>
          <cell r="C23">
            <v>1220900</v>
          </cell>
          <cell r="D23">
            <v>159</v>
          </cell>
        </row>
        <row r="24">
          <cell r="B24">
            <v>38535</v>
          </cell>
          <cell r="C24">
            <v>1027203</v>
          </cell>
          <cell r="D24">
            <v>203</v>
          </cell>
        </row>
        <row r="25">
          <cell r="B25">
            <v>38536</v>
          </cell>
          <cell r="C25">
            <v>1311714</v>
          </cell>
          <cell r="D25">
            <v>138</v>
          </cell>
        </row>
        <row r="26">
          <cell r="B26">
            <v>38537</v>
          </cell>
          <cell r="C26">
            <v>1076684</v>
          </cell>
          <cell r="D26">
            <v>206</v>
          </cell>
        </row>
        <row r="27">
          <cell r="B27">
            <v>38538</v>
          </cell>
          <cell r="C27">
            <v>1035058</v>
          </cell>
          <cell r="D27">
            <v>124</v>
          </cell>
        </row>
        <row r="28">
          <cell r="B28">
            <v>38539</v>
          </cell>
          <cell r="C28">
            <v>1147605</v>
          </cell>
          <cell r="D28">
            <v>217</v>
          </cell>
        </row>
        <row r="29">
          <cell r="B29">
            <v>38540</v>
          </cell>
          <cell r="C29">
            <v>1091289</v>
          </cell>
          <cell r="D29">
            <v>167</v>
          </cell>
        </row>
        <row r="30">
          <cell r="B30">
            <v>38541</v>
          </cell>
          <cell r="C30">
            <v>1104225</v>
          </cell>
          <cell r="D30">
            <v>299</v>
          </cell>
        </row>
        <row r="31">
          <cell r="B31">
            <v>38542</v>
          </cell>
          <cell r="C31">
            <v>1013751</v>
          </cell>
          <cell r="D31">
            <v>254</v>
          </cell>
        </row>
      </sheetData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C32"/>
  <sheetViews>
    <sheetView showGridLines="0" tabSelected="1" zoomScale="85" zoomScaleNormal="85" workbookViewId="0">
      <pane ySplit="26" topLeftCell="A76" activePane="bottomLeft" state="frozen"/>
      <selection pane="bottomLeft" activeCell="E6" sqref="E6"/>
    </sheetView>
  </sheetViews>
  <sheetFormatPr defaultRowHeight="15" x14ac:dyDescent="0.25"/>
  <cols>
    <col min="1" max="1" width="6.140625" customWidth="1"/>
    <col min="2" max="5" width="25.28515625" customWidth="1"/>
  </cols>
  <sheetData>
    <row r="1" spans="2:29" ht="25.5" customHeight="1" x14ac:dyDescent="0.25">
      <c r="B1" s="15" t="s">
        <v>25</v>
      </c>
      <c r="C1" s="16"/>
      <c r="D1" s="16"/>
      <c r="E1" s="17"/>
    </row>
    <row r="2" spans="2:29" ht="20.25" customHeight="1" x14ac:dyDescent="0.25"/>
    <row r="3" spans="2:29" ht="25.5" x14ac:dyDescent="0.25">
      <c r="B3" s="1" t="str">
        <f>Y18</f>
        <v>Sales</v>
      </c>
      <c r="C3" s="1" t="str">
        <f t="shared" ref="C3:E3" si="0">Z18</f>
        <v>Expenses</v>
      </c>
      <c r="D3" s="1" t="str">
        <f t="shared" si="0"/>
        <v>Profits</v>
      </c>
      <c r="E3" s="1" t="str">
        <f t="shared" si="0"/>
        <v>No. of Customers</v>
      </c>
    </row>
    <row r="4" spans="2:29" ht="44.25" customHeight="1" x14ac:dyDescent="0.25">
      <c r="B4" s="3">
        <f>Y32</f>
        <v>16792</v>
      </c>
      <c r="C4" s="3">
        <f t="shared" ref="C4:D4" si="1">Z32</f>
        <v>11353</v>
      </c>
      <c r="D4" s="3">
        <f t="shared" si="1"/>
        <v>5439</v>
      </c>
      <c r="E4" s="4">
        <f>AB32</f>
        <v>448</v>
      </c>
    </row>
    <row r="5" spans="2:29" x14ac:dyDescent="0.25">
      <c r="B5" s="2" t="s">
        <v>6</v>
      </c>
      <c r="C5" s="2" t="s">
        <v>6</v>
      </c>
      <c r="D5" s="2" t="s">
        <v>6</v>
      </c>
      <c r="E5" s="2" t="s">
        <v>6</v>
      </c>
    </row>
    <row r="6" spans="2:29" ht="15.75" x14ac:dyDescent="0.25">
      <c r="B6" s="11" t="str">
        <f>IFERROR(HYPERLINK(highlightSeries(B3)),"6")</f>
        <v>6</v>
      </c>
      <c r="C6" s="11" t="str">
        <f>IFERROR(HYPERLINK(highlightSeries(C3)),"6")</f>
        <v>6</v>
      </c>
      <c r="D6" s="11" t="str">
        <f>IFERROR(HYPERLINK(highlightSeries(D3)),"6")</f>
        <v>6</v>
      </c>
      <c r="E6" s="11" t="str">
        <f>IFERROR(HYPERLINK(highlightSeries(E3)),"6")</f>
        <v>6</v>
      </c>
    </row>
    <row r="7" spans="2:29" x14ac:dyDescent="0.25">
      <c r="B7" s="5"/>
      <c r="C7" s="5"/>
      <c r="D7" s="5"/>
      <c r="E7" s="5"/>
    </row>
    <row r="8" spans="2:29" x14ac:dyDescent="0.25">
      <c r="B8" s="5"/>
      <c r="C8" s="5"/>
      <c r="D8" s="5"/>
      <c r="E8" s="5"/>
    </row>
    <row r="9" spans="2:29" x14ac:dyDescent="0.25">
      <c r="B9" s="5"/>
      <c r="C9" s="5"/>
      <c r="D9" s="5"/>
      <c r="E9" s="5"/>
    </row>
    <row r="10" spans="2:29" x14ac:dyDescent="0.25">
      <c r="B10" s="5"/>
      <c r="C10" s="5"/>
      <c r="D10" s="5"/>
      <c r="E10" s="5"/>
    </row>
    <row r="11" spans="2:29" x14ac:dyDescent="0.25">
      <c r="B11" s="5"/>
      <c r="C11" s="5"/>
      <c r="D11" s="5"/>
      <c r="E11" s="5"/>
    </row>
    <row r="12" spans="2:29" x14ac:dyDescent="0.25">
      <c r="B12" s="5"/>
      <c r="C12" s="5"/>
      <c r="D12" s="5"/>
      <c r="E12" s="5"/>
    </row>
    <row r="13" spans="2:29" x14ac:dyDescent="0.25">
      <c r="B13" s="5"/>
      <c r="C13" s="5"/>
      <c r="D13" s="5"/>
      <c r="E13" s="5"/>
    </row>
    <row r="14" spans="2:29" x14ac:dyDescent="0.25">
      <c r="B14" s="5"/>
      <c r="C14" s="5"/>
      <c r="D14" s="5"/>
      <c r="E14" s="5"/>
    </row>
    <row r="15" spans="2:29" x14ac:dyDescent="0.25">
      <c r="B15" s="5"/>
      <c r="C15" s="5"/>
      <c r="D15" s="5"/>
      <c r="E15" s="5"/>
      <c r="AC15" s="8" t="str">
        <f>"Monthly breakup of "&amp;valSelOption&amp;" [Jan - Dec, 2010]"</f>
        <v>Monthly breakup of Expenses [Jan - Dec, 2010]</v>
      </c>
    </row>
    <row r="16" spans="2:29" x14ac:dyDescent="0.25">
      <c r="B16" s="5"/>
      <c r="C16" s="5"/>
      <c r="D16" s="5"/>
      <c r="E16" s="5"/>
    </row>
    <row r="17" spans="2:29" x14ac:dyDescent="0.25">
      <c r="B17" s="5"/>
      <c r="C17" s="5"/>
      <c r="D17" s="5"/>
      <c r="E17" s="5"/>
      <c r="AC17" s="9">
        <f>MATCH(valSelOption,$Y$18:$AB$18,0)</f>
        <v>2</v>
      </c>
    </row>
    <row r="18" spans="2:29" x14ac:dyDescent="0.25">
      <c r="B18" s="5"/>
      <c r="C18" s="5"/>
      <c r="D18" s="5"/>
      <c r="E18" s="5"/>
      <c r="X18" s="10" t="s">
        <v>4</v>
      </c>
      <c r="Y18" s="10" t="s">
        <v>0</v>
      </c>
      <c r="Z18" s="10" t="s">
        <v>1</v>
      </c>
      <c r="AA18" s="10" t="s">
        <v>2</v>
      </c>
      <c r="AB18" s="10" t="s">
        <v>3</v>
      </c>
      <c r="AC18" s="10" t="s">
        <v>1</v>
      </c>
    </row>
    <row r="19" spans="2:29" x14ac:dyDescent="0.25">
      <c r="B19" s="5"/>
      <c r="C19" s="5"/>
      <c r="D19" s="5"/>
      <c r="E19" s="5"/>
      <c r="X19" s="7">
        <v>40179</v>
      </c>
      <c r="Y19" s="6">
        <v>1134</v>
      </c>
      <c r="Z19" s="6">
        <v>790</v>
      </c>
      <c r="AA19" s="6">
        <v>344</v>
      </c>
      <c r="AB19" s="6">
        <v>47</v>
      </c>
      <c r="AC19" s="8">
        <f t="array" ref="AC19:AC30">INDEX($Y$19:$AB$30,,$AC$17)</f>
        <v>790</v>
      </c>
    </row>
    <row r="20" spans="2:29" x14ac:dyDescent="0.25">
      <c r="B20" s="5"/>
      <c r="C20" s="5"/>
      <c r="D20" s="5"/>
      <c r="E20" s="5"/>
      <c r="X20" s="7">
        <v>40210</v>
      </c>
      <c r="Y20" s="6">
        <v>1149</v>
      </c>
      <c r="Z20" s="6">
        <v>1475</v>
      </c>
      <c r="AA20" s="6">
        <v>-326</v>
      </c>
      <c r="AB20" s="6">
        <v>47</v>
      </c>
      <c r="AC20" s="8">
        <v>1475</v>
      </c>
    </row>
    <row r="21" spans="2:29" x14ac:dyDescent="0.25">
      <c r="B21" s="5"/>
      <c r="C21" s="5"/>
      <c r="D21" s="5"/>
      <c r="E21" s="5"/>
      <c r="X21" s="7">
        <v>40238</v>
      </c>
      <c r="Y21" s="6">
        <v>1504</v>
      </c>
      <c r="Z21" s="6">
        <v>583</v>
      </c>
      <c r="AA21" s="6">
        <v>921</v>
      </c>
      <c r="AB21" s="6">
        <v>37</v>
      </c>
      <c r="AC21" s="8">
        <v>583</v>
      </c>
    </row>
    <row r="22" spans="2:29" x14ac:dyDescent="0.25">
      <c r="B22" s="5"/>
      <c r="C22" s="5"/>
      <c r="D22" s="5"/>
      <c r="E22" s="5"/>
      <c r="X22" s="7">
        <v>40269</v>
      </c>
      <c r="Y22" s="6">
        <v>1631</v>
      </c>
      <c r="Z22" s="6">
        <v>701</v>
      </c>
      <c r="AA22" s="6">
        <v>930</v>
      </c>
      <c r="AB22" s="6">
        <v>25</v>
      </c>
      <c r="AC22" s="8">
        <v>701</v>
      </c>
    </row>
    <row r="23" spans="2:29" x14ac:dyDescent="0.25">
      <c r="X23" s="7">
        <v>40299</v>
      </c>
      <c r="Y23" s="6">
        <v>1611</v>
      </c>
      <c r="Z23" s="6">
        <v>1160</v>
      </c>
      <c r="AA23" s="6">
        <v>451</v>
      </c>
      <c r="AB23" s="6">
        <v>27</v>
      </c>
      <c r="AC23" s="8">
        <v>1160</v>
      </c>
    </row>
    <row r="24" spans="2:29" x14ac:dyDescent="0.25">
      <c r="B24" s="19"/>
      <c r="C24" s="19"/>
      <c r="D24" s="18"/>
      <c r="E24" s="18"/>
      <c r="X24" s="7">
        <v>40330</v>
      </c>
      <c r="Y24" s="6">
        <v>1792</v>
      </c>
      <c r="Z24" s="6">
        <v>656</v>
      </c>
      <c r="AA24" s="6">
        <v>1136</v>
      </c>
      <c r="AB24" s="6">
        <v>31</v>
      </c>
      <c r="AC24" s="8">
        <v>656</v>
      </c>
    </row>
    <row r="25" spans="2:29" x14ac:dyDescent="0.25">
      <c r="X25" s="7">
        <v>40360</v>
      </c>
      <c r="Y25" s="6">
        <v>1417</v>
      </c>
      <c r="Z25" s="6">
        <v>643</v>
      </c>
      <c r="AA25" s="6">
        <v>774</v>
      </c>
      <c r="AB25" s="6">
        <v>50</v>
      </c>
      <c r="AC25" s="8">
        <v>643</v>
      </c>
    </row>
    <row r="26" spans="2:29" x14ac:dyDescent="0.25">
      <c r="X26" s="7">
        <v>40391</v>
      </c>
      <c r="Y26" s="6">
        <v>1027</v>
      </c>
      <c r="Z26" s="6">
        <v>1325</v>
      </c>
      <c r="AA26" s="6">
        <v>-298</v>
      </c>
      <c r="AB26" s="6">
        <v>37</v>
      </c>
      <c r="AC26" s="8">
        <v>1325</v>
      </c>
    </row>
    <row r="27" spans="2:29" x14ac:dyDescent="0.25">
      <c r="X27" s="7">
        <v>40422</v>
      </c>
      <c r="Y27" s="6">
        <v>1312</v>
      </c>
      <c r="Z27" s="6">
        <v>1293</v>
      </c>
      <c r="AA27" s="6">
        <v>19</v>
      </c>
      <c r="AB27" s="6">
        <v>26</v>
      </c>
      <c r="AC27" s="8">
        <v>1293</v>
      </c>
    </row>
    <row r="28" spans="2:29" x14ac:dyDescent="0.25">
      <c r="X28" s="7">
        <v>40452</v>
      </c>
      <c r="Y28" s="6">
        <v>1338</v>
      </c>
      <c r="Z28" s="6">
        <v>821</v>
      </c>
      <c r="AA28" s="6">
        <v>517</v>
      </c>
      <c r="AB28" s="6">
        <v>50</v>
      </c>
      <c r="AC28" s="8">
        <v>821</v>
      </c>
    </row>
    <row r="29" spans="2:29" x14ac:dyDescent="0.25">
      <c r="X29" s="7">
        <v>40483</v>
      </c>
      <c r="Y29" s="6">
        <v>1534</v>
      </c>
      <c r="Z29" s="6">
        <v>557</v>
      </c>
      <c r="AA29" s="6">
        <v>977</v>
      </c>
      <c r="AB29" s="6">
        <v>31</v>
      </c>
      <c r="AC29" s="8">
        <v>557</v>
      </c>
    </row>
    <row r="30" spans="2:29" x14ac:dyDescent="0.25">
      <c r="X30" s="7">
        <v>40513</v>
      </c>
      <c r="Y30" s="6">
        <v>1343</v>
      </c>
      <c r="Z30" s="6">
        <v>1349</v>
      </c>
      <c r="AA30" s="6">
        <v>-6</v>
      </c>
      <c r="AB30" s="6">
        <v>40</v>
      </c>
      <c r="AC30" s="8">
        <v>1349</v>
      </c>
    </row>
    <row r="32" spans="2:29" x14ac:dyDescent="0.25">
      <c r="X32" s="8" t="s">
        <v>5</v>
      </c>
      <c r="Y32" s="6">
        <f>SUM(Y19:Y30)</f>
        <v>16792</v>
      </c>
      <c r="Z32" s="6">
        <f t="shared" ref="Z32:AB32" si="2">SUM(Z19:Z30)</f>
        <v>11353</v>
      </c>
      <c r="AA32" s="6">
        <f t="shared" si="2"/>
        <v>5439</v>
      </c>
      <c r="AB32" s="6">
        <f t="shared" si="2"/>
        <v>448</v>
      </c>
    </row>
  </sheetData>
  <mergeCells count="3">
    <mergeCell ref="B1:E1"/>
    <mergeCell ref="D24:E24"/>
    <mergeCell ref="B24:C24"/>
  </mergeCells>
  <conditionalFormatting sqref="B3:E6">
    <cfRule type="expression" dxfId="1" priority="2">
      <formula>B$3=valSelOption</formula>
    </cfRule>
  </conditionalFormatting>
  <conditionalFormatting sqref="B6:E6">
    <cfRule type="expression" dxfId="0" priority="1">
      <formula>B$3=valSelOption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31"/>
  <sheetViews>
    <sheetView workbookViewId="0">
      <selection activeCell="A3" sqref="A3"/>
    </sheetView>
  </sheetViews>
  <sheetFormatPr defaultRowHeight="15" x14ac:dyDescent="0.25"/>
  <cols>
    <col min="2" max="3" width="10.28515625" bestFit="1" customWidth="1"/>
    <col min="4" max="4" width="4.85546875" bestFit="1" customWidth="1"/>
  </cols>
  <sheetData>
    <row r="2" spans="2:4" x14ac:dyDescent="0.25">
      <c r="B2" t="s">
        <v>7</v>
      </c>
      <c r="C2" t="s">
        <v>21</v>
      </c>
      <c r="D2" t="s">
        <v>22</v>
      </c>
    </row>
    <row r="3" spans="2:4" x14ac:dyDescent="0.25">
      <c r="B3" s="12">
        <v>38514</v>
      </c>
      <c r="C3">
        <v>1303419</v>
      </c>
      <c r="D3">
        <v>123</v>
      </c>
    </row>
    <row r="4" spans="2:4" x14ac:dyDescent="0.25">
      <c r="B4" s="12">
        <v>38515</v>
      </c>
      <c r="C4">
        <v>1368177</v>
      </c>
      <c r="D4">
        <v>284</v>
      </c>
    </row>
    <row r="5" spans="2:4" x14ac:dyDescent="0.25">
      <c r="B5" s="12">
        <v>38516</v>
      </c>
      <c r="C5">
        <v>1123413</v>
      </c>
      <c r="D5">
        <v>172</v>
      </c>
    </row>
    <row r="6" spans="2:4" x14ac:dyDescent="0.25">
      <c r="B6" s="12">
        <v>38517</v>
      </c>
      <c r="C6">
        <v>1291591</v>
      </c>
      <c r="D6">
        <v>145</v>
      </c>
    </row>
    <row r="7" spans="2:4" x14ac:dyDescent="0.25">
      <c r="B7" s="12">
        <v>38518</v>
      </c>
      <c r="C7">
        <v>1083560</v>
      </c>
      <c r="D7">
        <v>138</v>
      </c>
    </row>
    <row r="8" spans="2:4" x14ac:dyDescent="0.25">
      <c r="B8" s="12">
        <v>38519</v>
      </c>
      <c r="C8">
        <v>1121314</v>
      </c>
      <c r="D8">
        <v>234</v>
      </c>
    </row>
    <row r="9" spans="2:4" x14ac:dyDescent="0.25">
      <c r="B9" s="12">
        <v>38520</v>
      </c>
      <c r="C9">
        <v>1186701</v>
      </c>
      <c r="D9">
        <v>287</v>
      </c>
    </row>
    <row r="10" spans="2:4" x14ac:dyDescent="0.25">
      <c r="B10" s="12">
        <v>38521</v>
      </c>
      <c r="C10">
        <v>1098871</v>
      </c>
      <c r="D10">
        <v>210</v>
      </c>
    </row>
    <row r="11" spans="2:4" x14ac:dyDescent="0.25">
      <c r="B11" s="12">
        <v>38522</v>
      </c>
      <c r="C11">
        <v>1092795</v>
      </c>
      <c r="D11">
        <v>154</v>
      </c>
    </row>
    <row r="12" spans="2:4" x14ac:dyDescent="0.25">
      <c r="B12" s="12">
        <v>38523</v>
      </c>
      <c r="C12">
        <v>1216522</v>
      </c>
      <c r="D12">
        <v>101</v>
      </c>
    </row>
    <row r="13" spans="2:4" x14ac:dyDescent="0.25">
      <c r="B13" s="12">
        <v>38524</v>
      </c>
      <c r="C13">
        <v>1027508</v>
      </c>
      <c r="D13">
        <v>105</v>
      </c>
    </row>
    <row r="14" spans="2:4" x14ac:dyDescent="0.25">
      <c r="B14" s="12">
        <v>38525</v>
      </c>
      <c r="C14">
        <v>1263669</v>
      </c>
      <c r="D14">
        <v>290</v>
      </c>
    </row>
    <row r="15" spans="2:4" x14ac:dyDescent="0.25">
      <c r="B15" s="12">
        <v>38526</v>
      </c>
      <c r="C15">
        <v>1278680</v>
      </c>
      <c r="D15">
        <v>213</v>
      </c>
    </row>
    <row r="16" spans="2:4" x14ac:dyDescent="0.25">
      <c r="B16" s="12">
        <v>38527</v>
      </c>
      <c r="C16">
        <v>1352527</v>
      </c>
      <c r="D16">
        <v>143</v>
      </c>
    </row>
    <row r="17" spans="2:4" x14ac:dyDescent="0.25">
      <c r="B17" s="12">
        <v>38528</v>
      </c>
      <c r="C17">
        <v>1162771</v>
      </c>
      <c r="D17">
        <v>257</v>
      </c>
    </row>
    <row r="18" spans="2:4" x14ac:dyDescent="0.25">
      <c r="B18" s="12">
        <v>38529</v>
      </c>
      <c r="C18">
        <v>1173180</v>
      </c>
      <c r="D18">
        <v>192</v>
      </c>
    </row>
    <row r="19" spans="2:4" x14ac:dyDescent="0.25">
      <c r="B19" s="12">
        <v>38530</v>
      </c>
      <c r="C19">
        <v>1163031</v>
      </c>
      <c r="D19">
        <v>196</v>
      </c>
    </row>
    <row r="20" spans="2:4" x14ac:dyDescent="0.25">
      <c r="B20" s="12">
        <v>38531</v>
      </c>
      <c r="C20">
        <v>1222184</v>
      </c>
      <c r="D20">
        <v>199</v>
      </c>
    </row>
    <row r="21" spans="2:4" x14ac:dyDescent="0.25">
      <c r="B21" s="12">
        <v>38532</v>
      </c>
      <c r="C21">
        <v>1379700</v>
      </c>
      <c r="D21">
        <v>219</v>
      </c>
    </row>
    <row r="22" spans="2:4" x14ac:dyDescent="0.25">
      <c r="B22" s="12">
        <v>38533</v>
      </c>
      <c r="C22">
        <v>1260224</v>
      </c>
      <c r="D22">
        <v>276</v>
      </c>
    </row>
    <row r="23" spans="2:4" x14ac:dyDescent="0.25">
      <c r="B23" s="12">
        <v>38534</v>
      </c>
      <c r="C23">
        <v>1220900</v>
      </c>
      <c r="D23">
        <v>159</v>
      </c>
    </row>
    <row r="24" spans="2:4" x14ac:dyDescent="0.25">
      <c r="B24" s="12">
        <v>38535</v>
      </c>
      <c r="C24">
        <v>1027203</v>
      </c>
      <c r="D24">
        <v>203</v>
      </c>
    </row>
    <row r="25" spans="2:4" x14ac:dyDescent="0.25">
      <c r="B25" s="12">
        <v>38536</v>
      </c>
      <c r="C25">
        <v>1311714</v>
      </c>
      <c r="D25">
        <v>138</v>
      </c>
    </row>
    <row r="26" spans="2:4" x14ac:dyDescent="0.25">
      <c r="B26" s="12">
        <v>38537</v>
      </c>
      <c r="C26">
        <v>1076684</v>
      </c>
      <c r="D26">
        <v>206</v>
      </c>
    </row>
    <row r="27" spans="2:4" x14ac:dyDescent="0.25">
      <c r="B27" s="12">
        <v>38538</v>
      </c>
      <c r="C27">
        <v>1035058</v>
      </c>
      <c r="D27">
        <v>124</v>
      </c>
    </row>
    <row r="28" spans="2:4" x14ac:dyDescent="0.25">
      <c r="B28" s="12">
        <v>38539</v>
      </c>
      <c r="C28">
        <v>1147605</v>
      </c>
      <c r="D28">
        <v>217</v>
      </c>
    </row>
    <row r="29" spans="2:4" x14ac:dyDescent="0.25">
      <c r="B29" s="12">
        <v>38540</v>
      </c>
      <c r="C29">
        <v>1091289</v>
      </c>
      <c r="D29">
        <v>167</v>
      </c>
    </row>
    <row r="30" spans="2:4" x14ac:dyDescent="0.25">
      <c r="B30" s="12">
        <v>38541</v>
      </c>
      <c r="C30">
        <v>1104225</v>
      </c>
      <c r="D30">
        <v>299</v>
      </c>
    </row>
    <row r="31" spans="2:4" x14ac:dyDescent="0.25">
      <c r="B31" s="12">
        <v>38542</v>
      </c>
      <c r="C31">
        <v>1013751</v>
      </c>
      <c r="D31">
        <v>254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X32"/>
  <sheetViews>
    <sheetView workbookViewId="0">
      <selection activeCell="A3" sqref="A3"/>
    </sheetView>
  </sheetViews>
  <sheetFormatPr defaultRowHeight="15" x14ac:dyDescent="0.25"/>
  <cols>
    <col min="1" max="1" width="16.5703125" bestFit="1" customWidth="1"/>
    <col min="9" max="9" width="10.28515625" bestFit="1" customWidth="1"/>
    <col min="10" max="10" width="11.85546875" bestFit="1" customWidth="1"/>
    <col min="11" max="11" width="9.28515625" bestFit="1" customWidth="1"/>
    <col min="16" max="16" width="10.28515625" bestFit="1" customWidth="1"/>
  </cols>
  <sheetData>
    <row r="3" spans="1:24" x14ac:dyDescent="0.25">
      <c r="A3" t="s">
        <v>7</v>
      </c>
      <c r="B3" t="s">
        <v>8</v>
      </c>
      <c r="I3" t="s">
        <v>7</v>
      </c>
      <c r="J3" t="s">
        <v>9</v>
      </c>
      <c r="K3" t="s">
        <v>10</v>
      </c>
      <c r="W3" t="s">
        <v>7</v>
      </c>
      <c r="X3" t="s">
        <v>8</v>
      </c>
    </row>
    <row r="4" spans="1:24" x14ac:dyDescent="0.25">
      <c r="A4">
        <v>38963</v>
      </c>
      <c r="B4">
        <v>1332</v>
      </c>
      <c r="I4" s="12">
        <v>38547</v>
      </c>
      <c r="J4" s="13">
        <v>138576</v>
      </c>
      <c r="K4">
        <v>141</v>
      </c>
      <c r="W4">
        <v>38477</v>
      </c>
      <c r="X4">
        <v>1350</v>
      </c>
    </row>
    <row r="5" spans="1:24" x14ac:dyDescent="0.25">
      <c r="A5">
        <v>38964</v>
      </c>
      <c r="B5">
        <v>1165</v>
      </c>
      <c r="I5" s="12">
        <v>38548</v>
      </c>
      <c r="J5" s="13">
        <v>121831</v>
      </c>
      <c r="K5">
        <v>142</v>
      </c>
      <c r="W5">
        <v>38478</v>
      </c>
      <c r="X5">
        <v>1317</v>
      </c>
    </row>
    <row r="6" spans="1:24" x14ac:dyDescent="0.25">
      <c r="A6">
        <v>38965</v>
      </c>
      <c r="B6">
        <v>1268</v>
      </c>
      <c r="I6" s="12">
        <v>38549</v>
      </c>
      <c r="J6" s="13">
        <v>123963</v>
      </c>
      <c r="K6">
        <v>167</v>
      </c>
      <c r="W6">
        <v>38479</v>
      </c>
      <c r="X6">
        <v>1131</v>
      </c>
    </row>
    <row r="7" spans="1:24" x14ac:dyDescent="0.25">
      <c r="A7">
        <v>38966</v>
      </c>
      <c r="B7">
        <v>1316</v>
      </c>
      <c r="I7" s="12">
        <v>38550</v>
      </c>
      <c r="J7" s="13">
        <v>116021</v>
      </c>
      <c r="K7">
        <v>191</v>
      </c>
      <c r="W7">
        <v>38480</v>
      </c>
      <c r="X7">
        <v>1334</v>
      </c>
    </row>
    <row r="8" spans="1:24" x14ac:dyDescent="0.25">
      <c r="A8">
        <v>38967</v>
      </c>
      <c r="B8">
        <v>1088</v>
      </c>
      <c r="I8" s="12">
        <v>38551</v>
      </c>
      <c r="J8" s="13">
        <v>134565</v>
      </c>
      <c r="K8">
        <v>113</v>
      </c>
      <c r="W8">
        <v>38481</v>
      </c>
      <c r="X8">
        <v>1006</v>
      </c>
    </row>
    <row r="9" spans="1:24" x14ac:dyDescent="0.25">
      <c r="A9">
        <v>38968</v>
      </c>
      <c r="B9">
        <v>1255</v>
      </c>
      <c r="I9" s="12">
        <v>38552</v>
      </c>
      <c r="J9" s="13">
        <v>126362</v>
      </c>
      <c r="K9">
        <v>134</v>
      </c>
      <c r="W9">
        <v>38482</v>
      </c>
      <c r="X9">
        <v>1101</v>
      </c>
    </row>
    <row r="10" spans="1:24" x14ac:dyDescent="0.25">
      <c r="A10">
        <v>38969</v>
      </c>
      <c r="B10">
        <v>1033</v>
      </c>
      <c r="I10" s="12">
        <v>38553</v>
      </c>
      <c r="J10" s="13">
        <v>128405</v>
      </c>
      <c r="K10">
        <v>149</v>
      </c>
      <c r="W10">
        <v>38483</v>
      </c>
      <c r="X10">
        <v>1313</v>
      </c>
    </row>
    <row r="11" spans="1:24" x14ac:dyDescent="0.25">
      <c r="A11">
        <v>38970</v>
      </c>
      <c r="B11">
        <v>1384</v>
      </c>
      <c r="I11" s="12">
        <v>38554</v>
      </c>
      <c r="J11" s="13">
        <v>105143</v>
      </c>
      <c r="K11">
        <v>141</v>
      </c>
      <c r="W11">
        <v>38484</v>
      </c>
      <c r="X11">
        <v>1151</v>
      </c>
    </row>
    <row r="12" spans="1:24" x14ac:dyDescent="0.25">
      <c r="A12">
        <v>38971</v>
      </c>
      <c r="B12">
        <v>1048</v>
      </c>
      <c r="I12" s="12">
        <v>38555</v>
      </c>
      <c r="J12" s="13">
        <v>123349</v>
      </c>
      <c r="K12">
        <v>133</v>
      </c>
      <c r="W12">
        <v>38485</v>
      </c>
      <c r="X12">
        <v>1036</v>
      </c>
    </row>
    <row r="13" spans="1:24" x14ac:dyDescent="0.25">
      <c r="A13">
        <v>38972</v>
      </c>
      <c r="B13">
        <v>1127</v>
      </c>
      <c r="I13" s="12">
        <v>38556</v>
      </c>
      <c r="J13" s="13">
        <v>104705</v>
      </c>
      <c r="K13">
        <v>195</v>
      </c>
      <c r="W13">
        <v>38486</v>
      </c>
      <c r="X13">
        <v>1074</v>
      </c>
    </row>
    <row r="14" spans="1:24" x14ac:dyDescent="0.25">
      <c r="A14">
        <v>38973</v>
      </c>
      <c r="B14">
        <v>1266</v>
      </c>
      <c r="I14" s="12">
        <v>38557</v>
      </c>
      <c r="J14" s="13">
        <v>110691</v>
      </c>
      <c r="K14">
        <v>179</v>
      </c>
      <c r="W14">
        <v>38487</v>
      </c>
      <c r="X14">
        <v>1310</v>
      </c>
    </row>
    <row r="15" spans="1:24" x14ac:dyDescent="0.25">
      <c r="A15">
        <v>38974</v>
      </c>
      <c r="B15">
        <v>1147</v>
      </c>
      <c r="I15" s="12">
        <v>38558</v>
      </c>
      <c r="J15" s="13">
        <v>119971</v>
      </c>
      <c r="K15">
        <v>186</v>
      </c>
      <c r="W15">
        <v>38488</v>
      </c>
      <c r="X15">
        <v>1318</v>
      </c>
    </row>
    <row r="16" spans="1:24" x14ac:dyDescent="0.25">
      <c r="A16">
        <v>38975</v>
      </c>
      <c r="B16">
        <v>1225</v>
      </c>
      <c r="I16" s="12">
        <v>38559</v>
      </c>
      <c r="J16" s="13">
        <v>101178</v>
      </c>
      <c r="K16">
        <v>110</v>
      </c>
      <c r="W16">
        <v>38489</v>
      </c>
      <c r="X16">
        <v>1337</v>
      </c>
    </row>
    <row r="17" spans="1:24" x14ac:dyDescent="0.25">
      <c r="A17">
        <v>38976</v>
      </c>
      <c r="B17">
        <v>1101</v>
      </c>
      <c r="I17" s="12">
        <v>38560</v>
      </c>
      <c r="J17" s="13">
        <v>102175</v>
      </c>
      <c r="K17">
        <v>149</v>
      </c>
      <c r="W17">
        <v>38490</v>
      </c>
      <c r="X17">
        <v>1391</v>
      </c>
    </row>
    <row r="18" spans="1:24" x14ac:dyDescent="0.25">
      <c r="A18">
        <v>38977</v>
      </c>
      <c r="B18">
        <v>1266</v>
      </c>
      <c r="I18" s="12">
        <v>38561</v>
      </c>
      <c r="J18" s="13">
        <v>133281</v>
      </c>
      <c r="K18">
        <v>157</v>
      </c>
      <c r="W18">
        <v>38491</v>
      </c>
      <c r="X18">
        <v>1006</v>
      </c>
    </row>
    <row r="19" spans="1:24" x14ac:dyDescent="0.25">
      <c r="A19">
        <v>38978</v>
      </c>
      <c r="B19">
        <v>1296</v>
      </c>
      <c r="I19" s="12">
        <v>38562</v>
      </c>
      <c r="J19" s="13">
        <v>128002</v>
      </c>
      <c r="K19">
        <v>181</v>
      </c>
      <c r="W19">
        <v>38492</v>
      </c>
      <c r="X19">
        <v>1299</v>
      </c>
    </row>
    <row r="20" spans="1:24" x14ac:dyDescent="0.25">
      <c r="A20">
        <v>38979</v>
      </c>
      <c r="B20">
        <v>1059</v>
      </c>
      <c r="I20" s="12">
        <v>38563</v>
      </c>
      <c r="J20" s="13">
        <v>139623</v>
      </c>
      <c r="K20">
        <v>171</v>
      </c>
      <c r="W20">
        <v>38493</v>
      </c>
      <c r="X20">
        <v>1187</v>
      </c>
    </row>
    <row r="21" spans="1:24" x14ac:dyDescent="0.25">
      <c r="A21">
        <v>38980</v>
      </c>
      <c r="B21">
        <v>1367</v>
      </c>
      <c r="I21" s="12">
        <v>38564</v>
      </c>
      <c r="J21" s="13">
        <v>123532</v>
      </c>
      <c r="K21">
        <v>101</v>
      </c>
      <c r="W21">
        <v>38494</v>
      </c>
      <c r="X21">
        <v>1322</v>
      </c>
    </row>
    <row r="22" spans="1:24" x14ac:dyDescent="0.25">
      <c r="A22">
        <v>38981</v>
      </c>
      <c r="B22">
        <v>1344</v>
      </c>
      <c r="I22" s="12">
        <v>38565</v>
      </c>
      <c r="J22" s="13">
        <v>113162</v>
      </c>
      <c r="K22">
        <v>190</v>
      </c>
      <c r="W22">
        <v>38495</v>
      </c>
      <c r="X22">
        <v>1391</v>
      </c>
    </row>
    <row r="23" spans="1:24" x14ac:dyDescent="0.25">
      <c r="A23">
        <v>38982</v>
      </c>
      <c r="B23">
        <v>1234</v>
      </c>
      <c r="I23" s="12">
        <v>38566</v>
      </c>
      <c r="J23" s="13">
        <v>139893</v>
      </c>
      <c r="K23">
        <v>136</v>
      </c>
      <c r="W23">
        <v>38496</v>
      </c>
      <c r="X23">
        <v>1267</v>
      </c>
    </row>
    <row r="24" spans="1:24" x14ac:dyDescent="0.25">
      <c r="A24">
        <v>38983</v>
      </c>
      <c r="B24">
        <v>1314</v>
      </c>
      <c r="I24" s="12">
        <v>38567</v>
      </c>
      <c r="J24" s="13">
        <v>106341</v>
      </c>
      <c r="K24">
        <v>177</v>
      </c>
      <c r="W24">
        <v>38497</v>
      </c>
      <c r="X24">
        <v>1379</v>
      </c>
    </row>
    <row r="25" spans="1:24" x14ac:dyDescent="0.25">
      <c r="A25">
        <v>38984</v>
      </c>
      <c r="B25">
        <v>1263</v>
      </c>
      <c r="I25" s="12">
        <v>38568</v>
      </c>
      <c r="J25" s="13">
        <v>113834</v>
      </c>
      <c r="K25">
        <v>198</v>
      </c>
      <c r="W25">
        <v>38498</v>
      </c>
      <c r="X25">
        <v>1367</v>
      </c>
    </row>
    <row r="26" spans="1:24" x14ac:dyDescent="0.25">
      <c r="A26">
        <v>38985</v>
      </c>
      <c r="B26">
        <v>1317</v>
      </c>
      <c r="I26" s="12">
        <v>38569</v>
      </c>
      <c r="J26" s="13">
        <v>125406</v>
      </c>
      <c r="K26">
        <v>173</v>
      </c>
      <c r="W26">
        <v>38499</v>
      </c>
      <c r="X26">
        <v>1394</v>
      </c>
    </row>
    <row r="27" spans="1:24" x14ac:dyDescent="0.25">
      <c r="A27">
        <v>38986</v>
      </c>
      <c r="B27">
        <v>1264</v>
      </c>
      <c r="I27" s="12">
        <v>38570</v>
      </c>
      <c r="J27" s="13">
        <v>102855</v>
      </c>
      <c r="K27">
        <v>144</v>
      </c>
      <c r="W27">
        <v>38500</v>
      </c>
      <c r="X27">
        <v>1027</v>
      </c>
    </row>
    <row r="28" spans="1:24" x14ac:dyDescent="0.25">
      <c r="A28">
        <v>38987</v>
      </c>
      <c r="B28">
        <v>1115</v>
      </c>
      <c r="I28" s="12">
        <v>38571</v>
      </c>
      <c r="J28" s="13">
        <v>119915</v>
      </c>
      <c r="K28">
        <v>180</v>
      </c>
      <c r="W28">
        <v>38501</v>
      </c>
      <c r="X28">
        <v>1274</v>
      </c>
    </row>
    <row r="29" spans="1:24" x14ac:dyDescent="0.25">
      <c r="A29">
        <v>38988</v>
      </c>
      <c r="B29">
        <v>1304</v>
      </c>
      <c r="I29" s="12">
        <v>38572</v>
      </c>
      <c r="J29" s="13">
        <v>119062</v>
      </c>
      <c r="K29">
        <v>131</v>
      </c>
      <c r="W29">
        <v>38502</v>
      </c>
      <c r="X29">
        <v>1195</v>
      </c>
    </row>
    <row r="30" spans="1:24" x14ac:dyDescent="0.25">
      <c r="A30">
        <v>38989</v>
      </c>
      <c r="B30">
        <v>1220</v>
      </c>
      <c r="I30" s="12">
        <v>38573</v>
      </c>
      <c r="J30" s="13">
        <v>111354</v>
      </c>
      <c r="K30">
        <v>199</v>
      </c>
      <c r="W30">
        <v>38503</v>
      </c>
      <c r="X30">
        <v>1215</v>
      </c>
    </row>
    <row r="31" spans="1:24" x14ac:dyDescent="0.25">
      <c r="A31">
        <v>38990</v>
      </c>
      <c r="B31">
        <v>1225</v>
      </c>
      <c r="I31" s="12">
        <v>38574</v>
      </c>
      <c r="J31" s="13">
        <v>126884</v>
      </c>
      <c r="K31">
        <v>164</v>
      </c>
      <c r="W31">
        <v>38504</v>
      </c>
      <c r="X31">
        <v>1009</v>
      </c>
    </row>
    <row r="32" spans="1:24" x14ac:dyDescent="0.25">
      <c r="A32">
        <v>38991</v>
      </c>
      <c r="B32">
        <v>1105</v>
      </c>
      <c r="I32" s="12">
        <v>38575</v>
      </c>
      <c r="J32" s="13">
        <v>130659</v>
      </c>
      <c r="K32">
        <v>156</v>
      </c>
      <c r="W32">
        <v>38505</v>
      </c>
      <c r="X32">
        <v>1083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8"/>
  <sheetViews>
    <sheetView workbookViewId="0">
      <selection activeCell="C12" sqref="C12"/>
    </sheetView>
  </sheetViews>
  <sheetFormatPr defaultRowHeight="15" x14ac:dyDescent="0.25"/>
  <cols>
    <col min="1" max="1" width="16.7109375" bestFit="1" customWidth="1"/>
    <col min="2" max="3" width="6" bestFit="1" customWidth="1"/>
    <col min="4" max="4" width="10" bestFit="1" customWidth="1"/>
  </cols>
  <sheetData>
    <row r="2" spans="1:4" x14ac:dyDescent="0.25">
      <c r="A2" t="s">
        <v>11</v>
      </c>
      <c r="B2" t="s">
        <v>12</v>
      </c>
      <c r="C2" t="s">
        <v>13</v>
      </c>
      <c r="D2" t="s">
        <v>14</v>
      </c>
    </row>
    <row r="3" spans="1:4" x14ac:dyDescent="0.25">
      <c r="A3" t="s">
        <v>15</v>
      </c>
      <c r="B3">
        <v>331</v>
      </c>
      <c r="C3">
        <v>20000</v>
      </c>
      <c r="D3">
        <v>6620000</v>
      </c>
    </row>
    <row r="4" spans="1:4" x14ac:dyDescent="0.25">
      <c r="A4" t="s">
        <v>16</v>
      </c>
      <c r="B4">
        <v>1821</v>
      </c>
      <c r="C4">
        <v>30000</v>
      </c>
      <c r="D4">
        <v>54630000</v>
      </c>
    </row>
    <row r="5" spans="1:4" x14ac:dyDescent="0.25">
      <c r="A5" t="s">
        <v>17</v>
      </c>
      <c r="B5">
        <v>4291</v>
      </c>
      <c r="C5">
        <v>10000</v>
      </c>
      <c r="D5">
        <v>42910000</v>
      </c>
    </row>
    <row r="6" spans="1:4" x14ac:dyDescent="0.25">
      <c r="A6" t="s">
        <v>18</v>
      </c>
      <c r="B6">
        <v>10230</v>
      </c>
      <c r="C6">
        <v>10</v>
      </c>
      <c r="D6">
        <v>102300</v>
      </c>
    </row>
    <row r="7" spans="1:4" x14ac:dyDescent="0.25">
      <c r="A7" t="s">
        <v>19</v>
      </c>
      <c r="B7">
        <v>1283</v>
      </c>
      <c r="C7">
        <v>3500</v>
      </c>
      <c r="D7">
        <v>4490500</v>
      </c>
    </row>
    <row r="8" spans="1:4" x14ac:dyDescent="0.25">
      <c r="A8" t="s">
        <v>20</v>
      </c>
      <c r="B8">
        <v>15972</v>
      </c>
      <c r="C8">
        <v>200</v>
      </c>
      <c r="D8">
        <v>3194400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S2"/>
  <sheetViews>
    <sheetView workbookViewId="0">
      <selection activeCell="A3" sqref="A3"/>
    </sheetView>
  </sheetViews>
  <sheetFormatPr defaultRowHeight="15" x14ac:dyDescent="0.25"/>
  <sheetData>
    <row r="1" spans="1:19" ht="23.25" x14ac:dyDescent="0.35">
      <c r="A1" s="20" t="s">
        <v>23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14"/>
      <c r="M1" s="20" t="s">
        <v>24</v>
      </c>
      <c r="N1" s="20"/>
      <c r="O1" s="20"/>
      <c r="P1" s="20"/>
      <c r="Q1" s="20"/>
      <c r="R1" s="20"/>
      <c r="S1" s="20"/>
    </row>
    <row r="2" spans="1:19" ht="23.25" x14ac:dyDescent="0.3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14"/>
      <c r="M2" s="20"/>
      <c r="N2" s="20"/>
      <c r="O2" s="20"/>
      <c r="P2" s="20"/>
      <c r="Q2" s="20"/>
      <c r="R2" s="20"/>
      <c r="S2" s="20"/>
    </row>
  </sheetData>
  <mergeCells count="2">
    <mergeCell ref="A1:K2"/>
    <mergeCell ref="M1:S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Interactive Dashboard</vt:lpstr>
      <vt:lpstr>Combo Chart Data</vt:lpstr>
      <vt:lpstr>Line charts data</vt:lpstr>
      <vt:lpstr>Pie Charts data</vt:lpstr>
      <vt:lpstr>Chart List</vt:lpstr>
      <vt:lpstr>Combo Chart Sheet</vt:lpstr>
      <vt:lpstr>valSelOption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Saravanan S</cp:lastModifiedBy>
  <dcterms:created xsi:type="dcterms:W3CDTF">2011-07-15T04:23:52Z</dcterms:created>
  <dcterms:modified xsi:type="dcterms:W3CDTF">2024-11-20T07:22:08Z</dcterms:modified>
</cp:coreProperties>
</file>